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Labor" sheetId="3" state="visible" r:id="rId3"/>
    <sheet xmlns:r="http://schemas.openxmlformats.org/officeDocument/2006/relationships" name="Cost" sheetId="4" state="visible" r:id="rId4"/>
    <sheet xmlns:r="http://schemas.openxmlformats.org/officeDocument/2006/relationships" name="Capacity" sheetId="5" state="visible" r:id="rId5"/>
    <sheet xmlns:r="http://schemas.openxmlformats.org/officeDocument/2006/relationships" name="MakeVsBuy" sheetId="6" state="visible" r:id="rId6"/>
    <sheet xmlns:r="http://schemas.openxmlformats.org/officeDocument/2006/relationships" name="Margin" sheetId="7" state="visible" r:id="rId7"/>
    <sheet xmlns:r="http://schemas.openxmlformats.org/officeDocument/2006/relationships" name="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CC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INPUTS — blue cells are inputs; every other sheet computes from them. Prices budgetary ±30% until quoted.</t>
        </is>
      </c>
    </row>
    <row r="2">
      <c r="A2" t="inlineStr">
        <is>
          <t>technician rate /h</t>
        </is>
      </c>
      <c r="B2" s="2" t="n">
        <v>38</v>
      </c>
    </row>
    <row r="3">
      <c r="A3" t="inlineStr">
        <is>
          <t>loaded multiplier</t>
        </is>
      </c>
      <c r="B3" s="2" t="n">
        <v>1.6</v>
      </c>
    </row>
    <row r="4">
      <c r="A4" t="inlineStr">
        <is>
          <t>productive hours /wk</t>
        </is>
      </c>
      <c r="B4" s="2" t="n">
        <v>32</v>
      </c>
    </row>
    <row r="5">
      <c r="A5" t="inlineStr">
        <is>
          <t>weeks per year</t>
        </is>
      </c>
      <c r="B5" s="2" t="n">
        <v>48</v>
      </c>
    </row>
    <row r="6">
      <c r="A6" t="inlineStr">
        <is>
          <t>depreciation years</t>
        </is>
      </c>
      <c r="B6" s="2" t="n">
        <v>3</v>
      </c>
    </row>
    <row r="7">
      <c r="A7" t="inlineStr">
        <is>
          <t>overhead per set</t>
        </is>
      </c>
      <c r="B7" s="2" t="n">
        <v>4</v>
      </c>
    </row>
    <row r="8">
      <c r="A8" t="inlineStr">
        <is>
          <t>scrap fraction</t>
        </is>
      </c>
      <c r="B8" s="2" t="n">
        <v>0.03</v>
      </c>
    </row>
    <row r="9">
      <c r="A9" t="inlineStr">
        <is>
          <t>horizon weeks</t>
        </is>
      </c>
      <c r="B9" s="2" t="n">
        <v>52</v>
      </c>
    </row>
    <row r="10">
      <c r="A10" t="inlineStr">
        <is>
          <t>selling price per set</t>
        </is>
      </c>
      <c r="B10" s="2" t="n">
        <v>410</v>
      </c>
    </row>
    <row r="11">
      <c r="A11" t="inlineStr">
        <is>
          <t>equipment capital (buy now)</t>
        </is>
      </c>
      <c r="B11" s="2" t="n">
        <v>6500</v>
      </c>
    </row>
    <row r="12">
      <c r="A12" t="inlineStr">
        <is>
          <t>NRE one-time total</t>
        </is>
      </c>
      <c r="B12" s="2" t="n">
        <v>2722</v>
      </c>
    </row>
    <row r="14">
      <c r="A14" t="inlineStr">
        <is>
          <t>volumes (sets/week)</t>
        </is>
      </c>
    </row>
    <row r="15">
      <c r="A15" s="2" t="n">
        <v>10</v>
      </c>
    </row>
    <row r="16">
      <c r="A16" s="2" t="n">
        <v>30</v>
      </c>
    </row>
    <row r="17">
      <c r="A17" s="2" t="n">
        <v>50</v>
      </c>
    </row>
    <row r="18">
      <c r="A18" s="2" t="n">
        <v>75</v>
      </c>
    </row>
    <row r="19">
      <c r="A19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MPN</t>
        </is>
      </c>
      <c r="B1" s="3" t="inlineStr">
        <is>
          <t>qty/set</t>
        </is>
      </c>
      <c r="C1" s="3" t="inlineStr">
        <is>
          <t>unit price</t>
        </is>
      </c>
      <c r="D1" s="3" t="inlineStr">
        <is>
          <t>note</t>
        </is>
      </c>
      <c r="E1" s="3" t="inlineStr">
        <is>
          <t>ext/set (=qty*price*(1+scrap))</t>
        </is>
      </c>
    </row>
    <row r="2">
      <c r="A2" t="inlineStr">
        <is>
          <t>CONN-MAT-ECU</t>
        </is>
      </c>
      <c r="B2" s="2" t="n">
        <v>2</v>
      </c>
      <c r="C2" s="2" t="n">
        <v>1.6</v>
      </c>
      <c r="D2" t="inlineStr">
        <is>
          <t>tier at 9600/yr, +3% scrap</t>
        </is>
      </c>
      <c r="E2">
        <f>IF(C2="",0,B2*C2*(1+Inputs!$B$8))</f>
        <v/>
      </c>
    </row>
    <row r="3">
      <c r="A3" t="inlineStr">
        <is>
          <t>CONN-NANO-4</t>
        </is>
      </c>
      <c r="B3" s="2" t="n">
        <v>3</v>
      </c>
      <c r="C3" s="2" t="n">
        <v>0.6</v>
      </c>
      <c r="D3" t="inlineStr">
        <is>
          <t>tier at 14400/yr, +3% scrap</t>
        </is>
      </c>
      <c r="E3">
        <f>IF(C3="",0,B3*C3*(1+Inputs!$B$8))</f>
        <v/>
      </c>
    </row>
    <row r="4">
      <c r="A4" t="inlineStr">
        <is>
          <t>FIXEL-01</t>
        </is>
      </c>
      <c r="B4" s="2" t="n">
        <v>2</v>
      </c>
      <c r="C4" s="2" t="n">
        <v>0.12</v>
      </c>
      <c r="D4" t="inlineStr">
        <is>
          <t>tier at 9600/yr, +3% scrap</t>
        </is>
      </c>
      <c r="E4">
        <f>IF(C4="",0,B4*C4*(1+Inputs!$B$8))</f>
        <v/>
      </c>
    </row>
    <row r="5">
      <c r="A5" t="inlineStr">
        <is>
          <t>HSG-DTM-2P</t>
        </is>
      </c>
      <c r="B5" s="2" t="n">
        <v>3</v>
      </c>
      <c r="C5" s="2" t="n">
        <v>0.9</v>
      </c>
      <c r="D5" t="inlineStr">
        <is>
          <t>tier at 14400/yr, +3% scrap</t>
        </is>
      </c>
      <c r="E5">
        <f>IF(C5="",0,B5*C5*(1+Inputs!$B$8))</f>
        <v/>
      </c>
    </row>
    <row r="6">
      <c r="A6" t="inlineStr">
        <is>
          <t>HSG-DTM-2S</t>
        </is>
      </c>
      <c r="B6" s="2" t="n">
        <v>2</v>
      </c>
      <c r="C6" s="2" t="n">
        <v>0.9</v>
      </c>
      <c r="D6" t="inlineStr">
        <is>
          <t>tier at 9600/yr, +3% scrap</t>
        </is>
      </c>
      <c r="E6">
        <f>IF(C6="",0,B6*C6*(1+Inputs!$B$8))</f>
        <v/>
      </c>
    </row>
    <row r="7">
      <c r="A7" t="inlineStr">
        <is>
          <t>HSG-GC-2</t>
        </is>
      </c>
      <c r="B7" s="2" t="n">
        <v>1</v>
      </c>
      <c r="C7" s="2" t="n">
        <v>0.5</v>
      </c>
      <c r="D7" t="inlineStr">
        <is>
          <t>tier at 4800/yr, +3% scrap</t>
        </is>
      </c>
      <c r="E7">
        <f>IF(C7="",0,B7*C7*(1+Inputs!$B$8))</f>
        <v/>
      </c>
    </row>
    <row r="8">
      <c r="A8" t="inlineStr">
        <is>
          <t>INSERT-M12</t>
        </is>
      </c>
      <c r="B8" s="2" t="n">
        <v>3</v>
      </c>
      <c r="C8" s="2" t="n">
        <v>2.4</v>
      </c>
      <c r="D8" t="inlineStr">
        <is>
          <t>tier at 14400/yr, +3% scrap</t>
        </is>
      </c>
      <c r="E8">
        <f>IF(C8="",0,B8*C8*(1+Inputs!$B$8))</f>
        <v/>
      </c>
    </row>
    <row r="9">
      <c r="A9" t="inlineStr">
        <is>
          <t>LBL-01</t>
        </is>
      </c>
      <c r="B9" s="2" t="n">
        <v>2</v>
      </c>
      <c r="C9" s="2" t="n">
        <v>0.02</v>
      </c>
      <c r="D9" t="inlineStr">
        <is>
          <t>tier at 9600/yr, +3% scrap</t>
        </is>
      </c>
      <c r="E9">
        <f>IF(C9="",0,B9*C9*(1+Inputs!$B$8))</f>
        <v/>
      </c>
    </row>
    <row r="10">
      <c r="A10" t="inlineStr">
        <is>
          <t>PLUG-DTM-16</t>
        </is>
      </c>
      <c r="B10" s="2" t="n">
        <v>3</v>
      </c>
      <c r="C10" s="2" t="n">
        <v>0.06</v>
      </c>
      <c r="D10" t="inlineStr">
        <is>
          <t>tier at 14400/yr, +3% scrap</t>
        </is>
      </c>
      <c r="E10">
        <f>IF(C10="",0,B10*C10*(1+Inputs!$B$8))</f>
        <v/>
      </c>
    </row>
    <row r="11">
      <c r="A11" t="inlineStr">
        <is>
          <t>PTA-ETH-2M</t>
        </is>
      </c>
      <c r="B11" s="2" t="n">
        <v>2</v>
      </c>
      <c r="C11" s="2" t="n">
        <v>11.9</v>
      </c>
      <c r="D11" t="inlineStr">
        <is>
          <t>tier at 9600/yr, +3% scrap</t>
        </is>
      </c>
      <c r="E11">
        <f>IF(C11="",0,B11*C11*(1+Inputs!$B$8))</f>
        <v/>
      </c>
    </row>
    <row r="12">
      <c r="A12" t="inlineStr">
        <is>
          <t>RCPT-GC-075</t>
        </is>
      </c>
      <c r="B12" s="2" t="n">
        <v>1</v>
      </c>
      <c r="C12" s="2" t="n">
        <v>0.18</v>
      </c>
      <c r="D12" t="inlineStr">
        <is>
          <t>tier at 4800/yr, +3% scrap</t>
        </is>
      </c>
      <c r="E12">
        <f>IF(C12="",0,B12*C12*(1+Inputs!$B$8))</f>
        <v/>
      </c>
    </row>
    <row r="13">
      <c r="A13" t="inlineStr">
        <is>
          <t>SHLD-BRL-01</t>
        </is>
      </c>
      <c r="B13" s="2" t="n">
        <v>2</v>
      </c>
      <c r="C13" s="2" t="n">
        <v>0.35</v>
      </c>
      <c r="D13" t="inlineStr">
        <is>
          <t>tier at 9600/yr, +3% scrap</t>
        </is>
      </c>
      <c r="E13">
        <f>IF(C13="",0,B13*C13*(1+Inputs!$B$8))</f>
        <v/>
      </c>
    </row>
    <row r="14">
      <c r="A14" t="inlineStr">
        <is>
          <t>TAPE-SW-01</t>
        </is>
      </c>
      <c r="B14" s="2" t="n">
        <v>0.7</v>
      </c>
      <c r="C14" s="2" t="n">
        <v>0.3</v>
      </c>
      <c r="D14" t="inlineStr">
        <is>
          <t>tier at 3360/yr, +3% scrap</t>
        </is>
      </c>
      <c r="E14">
        <f>IF(C14="",0,B14*C14*(1+Inputs!$B$8))</f>
        <v/>
      </c>
    </row>
    <row r="15">
      <c r="A15" t="inlineStr">
        <is>
          <t>TERM-DTM-16</t>
        </is>
      </c>
      <c r="B15" s="2" t="n">
        <v>7</v>
      </c>
      <c r="C15" s="2" t="n">
        <v>0.45</v>
      </c>
      <c r="D15" t="inlineStr">
        <is>
          <t>tier at 33600/yr, +3% scrap</t>
        </is>
      </c>
      <c r="E15">
        <f>IF(C15="",0,B15*C15*(1+Inputs!$B$8))</f>
        <v/>
      </c>
    </row>
    <row r="16">
      <c r="A16" t="inlineStr">
        <is>
          <t>TERM-MAT-CONT</t>
        </is>
      </c>
      <c r="B16" s="2" t="n">
        <v>4</v>
      </c>
      <c r="C16" s="2" t="n">
        <v>0.22</v>
      </c>
      <c r="D16" t="inlineStr">
        <is>
          <t>tier at 19200/yr, +3% scrap</t>
        </is>
      </c>
      <c r="E16">
        <f>IF(C16="",0,B16*C16*(1+Inputs!$B$8))</f>
        <v/>
      </c>
    </row>
    <row r="17">
      <c r="A17" t="inlineStr">
        <is>
          <t>TERM-NANO-050</t>
        </is>
      </c>
      <c r="B17" s="2" t="n">
        <v>7</v>
      </c>
      <c r="C17" s="2" t="n">
        <v>0.06</v>
      </c>
      <c r="D17" t="inlineStr">
        <is>
          <t>tier at 33600/yr, +3% scrap</t>
        </is>
      </c>
      <c r="E17">
        <f>IF(C17="",0,B17*C17*(1+Inputs!$B$8))</f>
        <v/>
      </c>
    </row>
    <row r="18">
      <c r="A18" t="inlineStr">
        <is>
          <t>TERM-PIN-N22</t>
        </is>
      </c>
      <c r="B18" s="2" t="n">
        <v>6</v>
      </c>
      <c r="C18" s="2" t="n">
        <v>0.65</v>
      </c>
      <c r="D18" t="inlineStr">
        <is>
          <t>tier at 28800/yr, +3% scrap</t>
        </is>
      </c>
      <c r="E18">
        <f>IF(C18="",0,B18*C18*(1+Inputs!$B$8))</f>
        <v/>
      </c>
    </row>
    <row r="19">
      <c r="A19" t="inlineStr">
        <is>
          <t>TPA-NANO-4</t>
        </is>
      </c>
      <c r="B19" s="2" t="n">
        <v>3</v>
      </c>
      <c r="C19" s="2" t="n">
        <v>0.08</v>
      </c>
      <c r="D19" t="inlineStr">
        <is>
          <t>tier at 14400/yr, +3% scrap</t>
        </is>
      </c>
      <c r="E19">
        <f>IF(C19="",0,B19*C19*(1+Inputs!$B$8))</f>
        <v/>
      </c>
    </row>
    <row r="20">
      <c r="A20" t="inlineStr">
        <is>
          <t>W-FLRY-035</t>
        </is>
      </c>
      <c r="B20" s="2" t="n">
        <v>0.9</v>
      </c>
      <c r="C20" s="2" t="n">
        <v>0.06</v>
      </c>
      <c r="D20" t="inlineStr">
        <is>
          <t>tier at 4320/yr, +3% scrap</t>
        </is>
      </c>
      <c r="E20">
        <f>IF(C20="",0,B20*C20*(1+Inputs!$B$8))</f>
        <v/>
      </c>
    </row>
    <row r="21">
      <c r="A21" t="inlineStr">
        <is>
          <t>W-FLRY-050</t>
        </is>
      </c>
      <c r="B21" s="2" t="n">
        <v>1.3</v>
      </c>
      <c r="C21" s="2" t="n">
        <v>0.07000000000000001</v>
      </c>
      <c r="D21" t="inlineStr">
        <is>
          <t>tier at 6240/yr, +3% scrap</t>
        </is>
      </c>
      <c r="E21">
        <f>IF(C21="",0,B21*C21*(1+Inputs!$B$8))</f>
        <v/>
      </c>
    </row>
    <row r="22">
      <c r="A22" t="inlineStr">
        <is>
          <t>W-FLRY-096</t>
        </is>
      </c>
      <c r="B22" s="2" t="n">
        <v>5.2</v>
      </c>
      <c r="C22" s="2" t="n">
        <v>0.11</v>
      </c>
      <c r="D22" t="inlineStr">
        <is>
          <t>tier at 24960/yr, +3% scrap</t>
        </is>
      </c>
      <c r="E22">
        <f>IF(C22="",0,B22*C22*(1+Inputs!$B$8))</f>
        <v/>
      </c>
    </row>
    <row r="23">
      <c r="A23" t="inlineStr">
        <is>
          <t>W-M22</t>
        </is>
      </c>
      <c r="B23" s="2" t="n">
        <v>0.45</v>
      </c>
      <c r="C23" s="2" t="n">
        <v>0.08</v>
      </c>
      <c r="D23" t="inlineStr">
        <is>
          <t>tier at 2160/yr, +3% scrap</t>
        </is>
      </c>
      <c r="E23">
        <f>IF(C23="",0,B23*C23*(1+Inputs!$B$8))</f>
        <v/>
      </c>
    </row>
    <row r="24">
      <c r="A24" t="inlineStr">
        <is>
          <t>W-TWIN-22</t>
        </is>
      </c>
      <c r="B24" s="2" t="n">
        <v>2.4</v>
      </c>
      <c r="C24" s="2" t="n">
        <v>0.22</v>
      </c>
      <c r="D24" t="inlineStr">
        <is>
          <t>tier at 11520/yr, +3% scrap</t>
        </is>
      </c>
      <c r="E24">
        <f>IF(C24="",0,B24*C24*(1+Inputs!$B$8))</f>
        <v/>
      </c>
    </row>
    <row r="25">
      <c r="A25" t="inlineStr">
        <is>
          <t>WEDGE-DTM-2</t>
        </is>
      </c>
      <c r="B25" s="2" t="n">
        <v>5</v>
      </c>
      <c r="C25" s="2" t="n">
        <v>0.22</v>
      </c>
      <c r="D25" t="inlineStr">
        <is>
          <t>tier at 24000/yr, +3% scrap</t>
        </is>
      </c>
      <c r="E25">
        <f>IF(C25="",0,B25*C25*(1+Inputs!$B$8))</f>
        <v/>
      </c>
    </row>
    <row r="26">
      <c r="D26" s="1" t="inlineStr">
        <is>
          <t>MATERIAL PER SET</t>
        </is>
      </c>
      <c r="E26" s="1">
        <f>SUM(E2:E25)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harness</t>
        </is>
      </c>
      <c r="B1" s="3" t="inlineStr">
        <is>
          <t>qty/set</t>
        </is>
      </c>
      <c r="C1" s="3" t="inlineStr">
        <is>
          <t>Cutting / stripping</t>
        </is>
      </c>
      <c r="D1" s="3" t="inlineStr">
        <is>
          <t>Cable preparation (shield / coax prep)</t>
        </is>
      </c>
      <c r="E1" s="3" t="inlineStr">
        <is>
          <t>Crimp / solder</t>
        </is>
      </c>
      <c r="F1" s="3" t="inlineStr">
        <is>
          <t>Connector assembly</t>
        </is>
      </c>
      <c r="G1" s="3" t="inlineStr">
        <is>
          <t>Layout / tape / label</t>
        </is>
      </c>
      <c r="H1" s="3" t="inlineStr">
        <is>
          <t>Test / inspect / pack</t>
        </is>
      </c>
      <c r="I1" s="3" t="inlineStr">
        <is>
          <t>min/harness (sum)</t>
        </is>
      </c>
      <c r="J1" s="3" t="inlineStr">
        <is>
          <t>min contributed/set</t>
        </is>
      </c>
    </row>
    <row r="2">
      <c r="A2" t="inlineStr">
        <is>
          <t>D-1001</t>
        </is>
      </c>
      <c r="B2" s="2" t="n">
        <v>1</v>
      </c>
      <c r="C2" s="2" t="n">
        <v>0</v>
      </c>
      <c r="D2" s="2" t="n">
        <v>0</v>
      </c>
      <c r="E2" s="2" t="n">
        <v>0</v>
      </c>
      <c r="F2" s="2" t="n">
        <v>1</v>
      </c>
      <c r="G2" s="2" t="n">
        <v>4</v>
      </c>
      <c r="H2" s="2" t="n">
        <v>2</v>
      </c>
      <c r="I2">
        <f>SUM(C2:H2)</f>
        <v/>
      </c>
      <c r="J2">
        <f>B2*I2</f>
        <v/>
      </c>
    </row>
    <row r="3">
      <c r="A3" t="inlineStr">
        <is>
          <t>D-1002</t>
        </is>
      </c>
      <c r="B3" s="2" t="n">
        <v>2</v>
      </c>
      <c r="C3" s="2" t="n">
        <v>0</v>
      </c>
      <c r="D3" s="2" t="n">
        <v>2.5</v>
      </c>
      <c r="E3" s="2" t="n">
        <v>3</v>
      </c>
      <c r="F3" s="2" t="n">
        <v>2</v>
      </c>
      <c r="G3" s="2" t="n">
        <v>2</v>
      </c>
      <c r="H3" s="2" t="n">
        <v>5.2</v>
      </c>
      <c r="I3">
        <f>SUM(C3:H3)</f>
        <v/>
      </c>
      <c r="J3">
        <f>B3*I3</f>
        <v/>
      </c>
    </row>
    <row r="4">
      <c r="A4" t="inlineStr">
        <is>
          <t>D-1003</t>
        </is>
      </c>
      <c r="B4" s="2" t="n">
        <v>1</v>
      </c>
      <c r="C4" s="2" t="n">
        <v>2.4</v>
      </c>
      <c r="D4" s="2" t="n">
        <v>0</v>
      </c>
      <c r="E4" s="2" t="n">
        <v>9</v>
      </c>
      <c r="F4" s="2" t="n">
        <v>4</v>
      </c>
      <c r="G4" s="2" t="n">
        <v>3.2</v>
      </c>
      <c r="H4" s="2" t="n">
        <v>2.6</v>
      </c>
      <c r="I4">
        <f>SUM(C4:H4)</f>
        <v/>
      </c>
      <c r="J4">
        <f>B4*I4</f>
        <v/>
      </c>
    </row>
    <row r="5">
      <c r="A5" t="inlineStr">
        <is>
          <t>D-1004</t>
        </is>
      </c>
      <c r="B5" s="2" t="n">
        <v>1</v>
      </c>
      <c r="C5" s="2" t="n">
        <v>1.6</v>
      </c>
      <c r="D5" s="2" t="n">
        <v>0</v>
      </c>
      <c r="E5" s="2" t="n">
        <v>6</v>
      </c>
      <c r="F5" s="2" t="n">
        <v>3</v>
      </c>
      <c r="G5" s="2" t="n">
        <v>2.4</v>
      </c>
      <c r="H5" s="2" t="n">
        <v>2.4</v>
      </c>
      <c r="I5">
        <f>SUM(C5:H5)</f>
        <v/>
      </c>
      <c r="J5">
        <f>B5*I5</f>
        <v/>
      </c>
    </row>
    <row r="6">
      <c r="A6" t="inlineStr">
        <is>
          <t>D-1005</t>
        </is>
      </c>
      <c r="B6" s="2" t="n">
        <v>1</v>
      </c>
      <c r="C6" s="2" t="n">
        <v>2.4</v>
      </c>
      <c r="D6" s="2" t="n">
        <v>0</v>
      </c>
      <c r="E6" s="2" t="n">
        <v>4.5</v>
      </c>
      <c r="F6" s="2" t="n">
        <v>3</v>
      </c>
      <c r="G6" s="2" t="n">
        <v>10.7</v>
      </c>
      <c r="H6" s="2" t="n">
        <v>2.3</v>
      </c>
      <c r="I6">
        <f>SUM(C6:H6)</f>
        <v/>
      </c>
      <c r="J6">
        <f>B6*I6</f>
        <v/>
      </c>
    </row>
    <row r="7">
      <c r="A7" t="inlineStr">
        <is>
          <t>D-1006</t>
        </is>
      </c>
      <c r="B7" s="2" t="n">
        <v>1</v>
      </c>
      <c r="C7" s="2" t="n">
        <v>2.4</v>
      </c>
      <c r="D7" s="2" t="n">
        <v>0</v>
      </c>
      <c r="E7" s="2" t="n">
        <v>9</v>
      </c>
      <c r="F7" s="2" t="n">
        <v>4.5</v>
      </c>
      <c r="G7" s="2" t="n">
        <v>4.8</v>
      </c>
      <c r="H7" s="2" t="n">
        <v>2.6</v>
      </c>
      <c r="I7">
        <f>SUM(C7:H7)</f>
        <v/>
      </c>
      <c r="J7">
        <f>B7*I7</f>
        <v/>
      </c>
    </row>
    <row r="8">
      <c r="A8" t="inlineStr">
        <is>
          <t>D-1007</t>
        </is>
      </c>
      <c r="B8" s="2" t="n">
        <v>2</v>
      </c>
      <c r="C8" s="2" t="n">
        <v>0.8</v>
      </c>
      <c r="D8" s="2" t="n">
        <v>0</v>
      </c>
      <c r="E8" s="2" t="n">
        <v>1.5</v>
      </c>
      <c r="F8" s="2" t="n">
        <v>1</v>
      </c>
      <c r="G8" s="2" t="n">
        <v>0.6</v>
      </c>
      <c r="H8" s="2" t="n">
        <v>2.1</v>
      </c>
      <c r="I8">
        <f>SUM(C8:H8)</f>
        <v/>
      </c>
      <c r="J8">
        <f>B8*I8</f>
        <v/>
      </c>
    </row>
    <row r="9">
      <c r="I9" s="1" t="inlineStr">
        <is>
          <t>MIN PER SET</t>
        </is>
      </c>
      <c r="J9" s="1">
        <f>SUM(J2:J8)</f>
        <v/>
      </c>
    </row>
    <row r="10">
      <c r="A10" t="inlineStr">
        <is>
          <t>Station minutes are planning estimates (A-TIME) — overwrite blue cells with measured values when available.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volume (sets/wk)</t>
        </is>
      </c>
      <c r="B1" s="3" t="inlineStr">
        <is>
          <t>material/set</t>
        </is>
      </c>
      <c r="C1" s="3" t="inlineStr">
        <is>
          <t>labor direct/set</t>
        </is>
      </c>
      <c r="D1" s="3" t="inlineStr">
        <is>
          <t>labor loaded/set</t>
        </is>
      </c>
      <c r="E1" s="3" t="inlineStr">
        <is>
          <t>depreciation/set</t>
        </is>
      </c>
      <c r="F1" s="3" t="inlineStr">
        <is>
          <t>NRE/set</t>
        </is>
      </c>
      <c r="G1" s="3" t="inlineStr">
        <is>
          <t>overhead/set</t>
        </is>
      </c>
      <c r="H1" s="3" t="inlineStr">
        <is>
          <t>TOTAL/set</t>
        </is>
      </c>
    </row>
    <row r="2">
      <c r="A2" s="2" t="n">
        <v>10</v>
      </c>
      <c r="B2">
        <f>BOM!$E$26</f>
        <v/>
      </c>
      <c r="C2">
        <f>Labor!$J$9/60*Inputs!$B$2</f>
        <v/>
      </c>
      <c r="D2">
        <f>C2*Inputs!$B$3</f>
        <v/>
      </c>
      <c r="E2">
        <f>Inputs!$B$11/(Inputs!$B$6*Inputs!$B$5)/A2</f>
        <v/>
      </c>
      <c r="F2">
        <f>Inputs!$B$12/(A2*Inputs!$B$9)</f>
        <v/>
      </c>
      <c r="G2">
        <f>Inputs!$B$7</f>
        <v/>
      </c>
      <c r="H2" s="1">
        <f>B2+D2+E2+F2+G2</f>
        <v/>
      </c>
    </row>
    <row r="3">
      <c r="A3" s="2" t="n">
        <v>30</v>
      </c>
      <c r="B3">
        <f>BOM!$E$26</f>
        <v/>
      </c>
      <c r="C3">
        <f>Labor!$J$9/60*Inputs!$B$2</f>
        <v/>
      </c>
      <c r="D3">
        <f>C3*Inputs!$B$3</f>
        <v/>
      </c>
      <c r="E3">
        <f>Inputs!$B$11/(Inputs!$B$6*Inputs!$B$5)/A3</f>
        <v/>
      </c>
      <c r="F3">
        <f>Inputs!$B$12/(A3*Inputs!$B$9)</f>
        <v/>
      </c>
      <c r="G3">
        <f>Inputs!$B$7</f>
        <v/>
      </c>
      <c r="H3" s="1">
        <f>B3+D3+E3+F3+G3</f>
        <v/>
      </c>
    </row>
    <row r="4">
      <c r="A4" s="2" t="n">
        <v>50</v>
      </c>
      <c r="B4">
        <f>BOM!$E$26</f>
        <v/>
      </c>
      <c r="C4">
        <f>Labor!$J$9/60*Inputs!$B$2</f>
        <v/>
      </c>
      <c r="D4">
        <f>C4*Inputs!$B$3</f>
        <v/>
      </c>
      <c r="E4">
        <f>Inputs!$B$11/(Inputs!$B$6*Inputs!$B$5)/A4</f>
        <v/>
      </c>
      <c r="F4">
        <f>Inputs!$B$12/(A4*Inputs!$B$9)</f>
        <v/>
      </c>
      <c r="G4">
        <f>Inputs!$B$7</f>
        <v/>
      </c>
      <c r="H4" s="1">
        <f>B4+D4+E4+F4+G4</f>
        <v/>
      </c>
    </row>
    <row r="5">
      <c r="A5" s="2" t="n">
        <v>75</v>
      </c>
      <c r="B5">
        <f>BOM!$E$26</f>
        <v/>
      </c>
      <c r="C5">
        <f>Labor!$J$9/60*Inputs!$B$2</f>
        <v/>
      </c>
      <c r="D5">
        <f>C5*Inputs!$B$3</f>
        <v/>
      </c>
      <c r="E5">
        <f>Inputs!$B$11/(Inputs!$B$6*Inputs!$B$5)/A5</f>
        <v/>
      </c>
      <c r="F5">
        <f>Inputs!$B$12/(A5*Inputs!$B$9)</f>
        <v/>
      </c>
      <c r="G5">
        <f>Inputs!$B$7</f>
        <v/>
      </c>
      <c r="H5" s="1">
        <f>B5+D5+E5+F5+G5</f>
        <v/>
      </c>
    </row>
    <row r="6">
      <c r="A6" s="2" t="n">
        <v>100</v>
      </c>
      <c r="B6">
        <f>BOM!$E$26</f>
        <v/>
      </c>
      <c r="C6">
        <f>Labor!$J$9/60*Inputs!$B$2</f>
        <v/>
      </c>
      <c r="D6">
        <f>C6*Inputs!$B$3</f>
        <v/>
      </c>
      <c r="E6">
        <f>Inputs!$B$11/(Inputs!$B$6*Inputs!$B$5)/A6</f>
        <v/>
      </c>
      <c r="F6">
        <f>Inputs!$B$12/(A6*Inputs!$B$9)</f>
        <v/>
      </c>
      <c r="G6">
        <f>Inputs!$B$7</f>
        <v/>
      </c>
      <c r="H6" s="1">
        <f>B6+D6+E6+F6+G6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volume</t>
        </is>
      </c>
      <c r="B1" s="3" t="inlineStr">
        <is>
          <t>hours/week</t>
        </is>
      </c>
      <c r="C1" s="3" t="inlineStr">
        <is>
          <t>technicians (ceil)</t>
        </is>
      </c>
      <c r="D1" s="3" t="inlineStr">
        <is>
          <t>share of a 4-tech shift</t>
        </is>
      </c>
    </row>
    <row r="2">
      <c r="A2">
        <f>Cost!A2</f>
        <v/>
      </c>
      <c r="B2">
        <f>A2*Labor!$J$9/60</f>
        <v/>
      </c>
      <c r="C2">
        <f>CEILING(B2/Inputs!$B$4,1)</f>
        <v/>
      </c>
      <c r="D2">
        <f>C2/4</f>
        <v/>
      </c>
    </row>
    <row r="3">
      <c r="A3">
        <f>Cost!A3</f>
        <v/>
      </c>
      <c r="B3">
        <f>A3*Labor!$J$9/60</f>
        <v/>
      </c>
      <c r="C3">
        <f>CEILING(B3/Inputs!$B$4,1)</f>
        <v/>
      </c>
      <c r="D3">
        <f>C3/4</f>
        <v/>
      </c>
    </row>
    <row r="4">
      <c r="A4">
        <f>Cost!A4</f>
        <v/>
      </c>
      <c r="B4">
        <f>A4*Labor!$J$9/60</f>
        <v/>
      </c>
      <c r="C4">
        <f>CEILING(B4/Inputs!$B$4,1)</f>
        <v/>
      </c>
      <c r="D4">
        <f>C4/4</f>
        <v/>
      </c>
    </row>
    <row r="5">
      <c r="A5">
        <f>Cost!A5</f>
        <v/>
      </c>
      <c r="B5">
        <f>A5*Labor!$J$9/60</f>
        <v/>
      </c>
      <c r="C5">
        <f>CEILING(B5/Inputs!$B$4,1)</f>
        <v/>
      </c>
      <c r="D5">
        <f>C5/4</f>
        <v/>
      </c>
    </row>
    <row r="6">
      <c r="A6">
        <f>Cost!A6</f>
        <v/>
      </c>
      <c r="B6">
        <f>A6*Labor!$J$9/60</f>
        <v/>
      </c>
      <c r="C6">
        <f>CEILING(B6/Inputs!$B$4,1)</f>
        <v/>
      </c>
      <c r="D6">
        <f>C6/4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volume</t>
        </is>
      </c>
      <c r="B1" s="3" t="inlineStr">
        <is>
          <t>make/set (=Cost)</t>
        </is>
      </c>
      <c r="C1" s="3" t="inlineStr">
        <is>
          <t>buy/set incl. gap</t>
        </is>
      </c>
      <c r="D1" s="3" t="inlineStr">
        <is>
          <t>weekly diff (buy-make)</t>
        </is>
      </c>
      <c r="E1" s="3" t="inlineStr">
        <is>
          <t>annual diff</t>
        </is>
      </c>
    </row>
    <row r="2">
      <c r="A2">
        <f>Cost!A2</f>
        <v/>
      </c>
      <c r="B2">
        <f>Cost!H2</f>
        <v/>
      </c>
      <c r="C2" s="2" t="n">
        <v>310</v>
      </c>
      <c r="D2">
        <f>(C2-B2)*A2</f>
        <v/>
      </c>
      <c r="E2">
        <f>D2*Inputs!$B$5</f>
        <v/>
      </c>
    </row>
    <row r="3">
      <c r="A3">
        <f>Cost!A3</f>
        <v/>
      </c>
      <c r="B3">
        <f>Cost!H3</f>
        <v/>
      </c>
      <c r="C3" s="2" t="n">
        <v>310</v>
      </c>
      <c r="D3">
        <f>(C3-B3)*A3</f>
        <v/>
      </c>
      <c r="E3">
        <f>D3*Inputs!$B$5</f>
        <v/>
      </c>
    </row>
    <row r="4">
      <c r="A4">
        <f>Cost!A4</f>
        <v/>
      </c>
      <c r="B4">
        <f>Cost!H4</f>
        <v/>
      </c>
      <c r="C4" s="2" t="n">
        <v>310</v>
      </c>
      <c r="D4">
        <f>(C4-B4)*A4</f>
        <v/>
      </c>
      <c r="E4">
        <f>D4*Inputs!$B$5</f>
        <v/>
      </c>
    </row>
    <row r="5">
      <c r="A5">
        <f>Cost!A5</f>
        <v/>
      </c>
      <c r="B5">
        <f>Cost!H5</f>
        <v/>
      </c>
      <c r="C5" s="2" t="n">
        <v>310</v>
      </c>
      <c r="D5">
        <f>(C5-B5)*A5</f>
        <v/>
      </c>
      <c r="E5">
        <f>D5*Inputs!$B$5</f>
        <v/>
      </c>
    </row>
    <row r="6">
      <c r="A6">
        <f>Cost!A6</f>
        <v/>
      </c>
      <c r="B6">
        <f>Cost!H6</f>
        <v/>
      </c>
      <c r="C6" s="2" t="n">
        <v>310</v>
      </c>
      <c r="D6">
        <f>(C6-B6)*A6</f>
        <v/>
      </c>
      <c r="E6">
        <f>D6*Inputs!$B$5</f>
        <v/>
      </c>
    </row>
    <row r="7">
      <c r="A7" t="inlineStr">
        <is>
          <t>buy/set is the quote plus our gap estimate — see the make-vs-buy report; blue = overwrite with final quote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volume</t>
        </is>
      </c>
      <c r="B1" s="3" t="inlineStr">
        <is>
          <t>cost/set</t>
        </is>
      </c>
      <c r="C1" s="3" t="inlineStr">
        <is>
          <t>GM/set</t>
        </is>
      </c>
      <c r="D1" s="3" t="inlineStr">
        <is>
          <t>GM %</t>
        </is>
      </c>
      <c r="E1" s="3" t="inlineStr">
        <is>
          <t>GM/year</t>
        </is>
      </c>
    </row>
    <row r="2">
      <c r="A2">
        <f>Cost!A2</f>
        <v/>
      </c>
      <c r="B2">
        <f>Cost!H2</f>
        <v/>
      </c>
      <c r="C2">
        <f>Inputs!$B$10-B2</f>
        <v/>
      </c>
      <c r="D2">
        <f>C2/Inputs!$B$10</f>
        <v/>
      </c>
      <c r="E2">
        <f>C2*A2*Inputs!$B$5</f>
        <v/>
      </c>
    </row>
    <row r="3">
      <c r="A3">
        <f>Cost!A3</f>
        <v/>
      </c>
      <c r="B3">
        <f>Cost!H3</f>
        <v/>
      </c>
      <c r="C3">
        <f>Inputs!$B$10-B3</f>
        <v/>
      </c>
      <c r="D3">
        <f>C3/Inputs!$B$10</f>
        <v/>
      </c>
      <c r="E3">
        <f>C3*A3*Inputs!$B$5</f>
        <v/>
      </c>
    </row>
    <row r="4">
      <c r="A4">
        <f>Cost!A4</f>
        <v/>
      </c>
      <c r="B4">
        <f>Cost!H4</f>
        <v/>
      </c>
      <c r="C4">
        <f>Inputs!$B$10-B4</f>
        <v/>
      </c>
      <c r="D4">
        <f>C4/Inputs!$B$10</f>
        <v/>
      </c>
      <c r="E4">
        <f>C4*A4*Inputs!$B$5</f>
        <v/>
      </c>
    </row>
    <row r="5">
      <c r="A5">
        <f>Cost!A5</f>
        <v/>
      </c>
      <c r="B5">
        <f>Cost!H5</f>
        <v/>
      </c>
      <c r="C5">
        <f>Inputs!$B$10-B5</f>
        <v/>
      </c>
      <c r="D5">
        <f>C5/Inputs!$B$10</f>
        <v/>
      </c>
      <c r="E5">
        <f>C5*A5*Inputs!$B$5</f>
        <v/>
      </c>
    </row>
    <row r="6">
      <c r="A6">
        <f>Cost!A6</f>
        <v/>
      </c>
      <c r="B6">
        <f>Cost!H6</f>
        <v/>
      </c>
      <c r="C6">
        <f>Inputs!$B$10-B6</f>
        <v/>
      </c>
      <c r="D6">
        <f>C6/Inputs!$B$10</f>
        <v/>
      </c>
      <c r="E6">
        <f>C6*A6*Inputs!$B$5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assumption</t>
        </is>
      </c>
      <c r="C1" s="3" t="inlineStr">
        <is>
          <t>value</t>
        </is>
      </c>
      <c r="D1" s="3" t="inlineStr">
        <is>
          <t>impact</t>
        </is>
      </c>
      <c r="E1" s="3" t="inlineStr">
        <is>
          <t>status</t>
        </is>
      </c>
      <c r="F1" s="3" t="inlineStr">
        <is>
          <t>source</t>
        </is>
      </c>
    </row>
    <row r="2">
      <c r="A2" t="inlineStr">
        <is>
          <t>A-VOL</t>
        </is>
      </c>
      <c r="B2" t="inlineStr">
        <is>
          <t>Volumes are in SETS per week (owner confirmed; lesson 8)</t>
        </is>
      </c>
      <c r="C2" t="inlineStr"/>
      <c r="D2" t="inlineStr">
        <is>
          <t>all capacity and cost outputs</t>
        </is>
      </c>
      <c r="E2" t="inlineStr">
        <is>
          <t>confirmed</t>
        </is>
      </c>
      <c r="F2" t="inlineStr">
        <is>
          <t>[unverified: owner statement]</t>
        </is>
      </c>
    </row>
    <row r="3">
      <c r="A3" t="inlineStr">
        <is>
          <t>A-RATES</t>
        </is>
      </c>
      <c r="B3" t="inlineStr">
        <is>
          <t>Technician $38/h, loaded 1.6x, 32 productive h/week, 48 weeks/year</t>
        </is>
      </c>
      <c r="C3" t="inlineStr"/>
      <c r="D3" t="inlineStr">
        <is>
          <t>labor cost and capacity</t>
        </is>
      </c>
      <c r="E3" t="inlineStr">
        <is>
          <t>confirmed</t>
        </is>
      </c>
      <c r="F3" t="inlineStr">
        <is>
          <t>[unverified: owner statement]</t>
        </is>
      </c>
    </row>
    <row r="4">
      <c r="A4" t="inlineStr">
        <is>
          <t>A-SCRAP</t>
        </is>
      </c>
      <c r="B4" t="inlineStr">
        <is>
          <t>3% material scrap allowance at prototype volume</t>
        </is>
      </c>
      <c r="C4" t="inlineStr"/>
      <c r="D4" t="inlineStr">
        <is>
          <t>material cost and order quantities</t>
        </is>
      </c>
      <c r="E4" t="inlineStr">
        <is>
          <t>open</t>
        </is>
      </c>
      <c r="F4" t="inlineStr">
        <is>
          <t>[unverified: shop default]</t>
        </is>
      </c>
    </row>
    <row r="5">
      <c r="A5" t="inlineStr">
        <is>
          <t>A-TIME</t>
        </is>
      </c>
      <c r="B5" t="inlineStr">
        <is>
          <t>station unit times are planning estimates until measured (±25% carried in margin sensitivity)</t>
        </is>
      </c>
      <c r="E5" t="inlineStr">
        <is>
          <t>open</t>
        </is>
      </c>
    </row>
    <row r="6">
      <c r="A6" t="inlineStr">
        <is>
          <t>A-TOOL-T</t>
        </is>
      </c>
      <c r="B6" t="inlineStr">
        <is>
          <t>hand crimp 1.5 min, press 0.25 min, solder 3.0 min per termination</t>
        </is>
      </c>
      <c r="E6" t="inlineStr">
        <is>
          <t>open</t>
        </is>
      </c>
    </row>
    <row r="7">
      <c r="A7" t="inlineStr">
        <is>
          <t>A-CAL</t>
        </is>
      </c>
      <c r="B7" t="inlineStr">
        <is>
          <t>external calibration 120/event</t>
        </is>
      </c>
      <c r="E7" t="inlineStr">
        <is>
          <t>open</t>
        </is>
      </c>
    </row>
    <row r="8">
      <c r="A8" t="inlineStr">
        <is>
          <t>A-FAI</t>
        </is>
      </c>
      <c r="B8" t="inlineStr">
        <is>
          <t>first article + qualification 2 weeks</t>
        </is>
      </c>
      <c r="E8" t="inlineStr">
        <is>
          <t>open</t>
        </is>
      </c>
    </row>
    <row r="9">
      <c r="A9" t="inlineStr">
        <is>
          <t>A-TRAIN</t>
        </is>
      </c>
      <c r="B9" t="inlineStr">
        <is>
          <t>training 1 week / 8 h</t>
        </is>
      </c>
      <c r="E9" t="inlineStr">
        <is>
          <t>open</t>
        </is>
      </c>
    </row>
    <row r="10">
      <c r="A10" t="inlineStr">
        <is>
          <t>A-SHIFT</t>
        </is>
      </c>
      <c r="B10" t="inlineStr">
        <is>
          <t>second shift above 4 technicians</t>
        </is>
      </c>
      <c r="E10" t="inlineStr">
        <is>
          <t>open</t>
        </is>
      </c>
    </row>
    <row r="11">
      <c r="A11" t="inlineStr">
        <is>
          <t>A-FB-SHIELD</t>
        </is>
      </c>
      <c r="B11" t="inlineStr">
        <is>
          <t>25 mm shield fold-back allowance on shielded ends</t>
        </is>
      </c>
      <c r="E1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2026-10-10T07:08:15Z</dcterms:created>
  <dcterms:modified xmlns:dcterms="http://purl.org/dc/terms/" xmlns:xsi="http://www.w3.org/2001/XMLSchema-instance" xsi:type="dcterms:W3CDTF">2026-10-10T07:08:15Z</dcterms:modified>
</cp:coreProperties>
</file>