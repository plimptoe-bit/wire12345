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abor" sheetId="3" state="visible" r:id="rId3"/>
    <sheet xmlns:r="http://schemas.openxmlformats.org/officeDocument/2006/relationships" name="Cost" sheetId="4" state="visible" r:id="rId4"/>
    <sheet xmlns:r="http://schemas.openxmlformats.org/officeDocument/2006/relationships" name="Capacity" sheetId="5" state="visible" r:id="rId5"/>
    <sheet xmlns:r="http://schemas.openxmlformats.org/officeDocument/2006/relationships" name="Margin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CC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INPUTS — blue cells are inputs; every other sheet computes from them. Prices budgetary ±30% until quoted.</t>
        </is>
      </c>
    </row>
    <row r="2">
      <c r="A2" t="inlineStr">
        <is>
          <t>technician rate /h</t>
        </is>
      </c>
      <c r="B2" s="2" t="n">
        <v>38</v>
      </c>
    </row>
    <row r="3">
      <c r="A3" t="inlineStr">
        <is>
          <t>loaded multiplier</t>
        </is>
      </c>
      <c r="B3" s="2" t="n">
        <v>1.6</v>
      </c>
    </row>
    <row r="4">
      <c r="A4" t="inlineStr">
        <is>
          <t>productive hours /wk</t>
        </is>
      </c>
      <c r="B4" s="2" t="n">
        <v>32</v>
      </c>
    </row>
    <row r="5">
      <c r="A5" t="inlineStr">
        <is>
          <t>weeks per year</t>
        </is>
      </c>
      <c r="B5" s="2" t="n">
        <v>48</v>
      </c>
    </row>
    <row r="6">
      <c r="A6" t="inlineStr">
        <is>
          <t>depreciation years</t>
        </is>
      </c>
      <c r="B6" s="2" t="n">
        <v>3</v>
      </c>
    </row>
    <row r="7">
      <c r="A7" t="inlineStr">
        <is>
          <t>overhead per set</t>
        </is>
      </c>
      <c r="B7" s="2" t="n">
        <v>2</v>
      </c>
    </row>
    <row r="8">
      <c r="A8" t="inlineStr">
        <is>
          <t>scrap fraction</t>
        </is>
      </c>
      <c r="B8" s="2" t="n">
        <v>0.05</v>
      </c>
    </row>
    <row r="9">
      <c r="A9" t="inlineStr">
        <is>
          <t>horizon weeks</t>
        </is>
      </c>
      <c r="B9" s="2" t="n">
        <v>40</v>
      </c>
    </row>
    <row r="10">
      <c r="A10" t="inlineStr">
        <is>
          <t>selling price per set</t>
        </is>
      </c>
      <c r="B10" s="2" t="n">
        <v>95</v>
      </c>
    </row>
    <row r="11">
      <c r="A11" t="inlineStr">
        <is>
          <t>equipment capital (buy now)</t>
        </is>
      </c>
      <c r="B11" s="2" t="n">
        <v>2600</v>
      </c>
    </row>
    <row r="12">
      <c r="A12" t="inlineStr">
        <is>
          <t>NRE one-time total</t>
        </is>
      </c>
      <c r="B12" s="2" t="n">
        <v>2185.6</v>
      </c>
    </row>
    <row r="14">
      <c r="A14" t="inlineStr">
        <is>
          <t>volumes (sets/week)</t>
        </is>
      </c>
    </row>
    <row r="15">
      <c r="A15" s="2" t="n">
        <v>5</v>
      </c>
    </row>
    <row r="16">
      <c r="A16" s="2" t="n">
        <v>15</v>
      </c>
    </row>
    <row r="17">
      <c r="A17" s="2" t="n">
        <v>22.5</v>
      </c>
    </row>
    <row r="18">
      <c r="A18" s="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MPN</t>
        </is>
      </c>
      <c r="B1" s="3" t="inlineStr">
        <is>
          <t>qty/set</t>
        </is>
      </c>
      <c r="C1" s="3" t="inlineStr">
        <is>
          <t>unit price</t>
        </is>
      </c>
      <c r="D1" s="3" t="inlineStr">
        <is>
          <t>note</t>
        </is>
      </c>
      <c r="E1" s="3" t="inlineStr">
        <is>
          <t>ext/set (=qty*price*(1+scrap))</t>
        </is>
      </c>
    </row>
    <row r="2">
      <c r="A2" t="inlineStr">
        <is>
          <t>BNC-STR-58</t>
        </is>
      </c>
      <c r="B2" s="2" t="n">
        <v>1</v>
      </c>
      <c r="C2" s="2" t="n">
        <v>1.9</v>
      </c>
      <c r="D2" t="inlineStr">
        <is>
          <t>tier at 1440/yr, +5% scrap</t>
        </is>
      </c>
      <c r="E2">
        <f>IF(C2="",0,B2*C2*(1+Inputs!$B$8))</f>
        <v/>
      </c>
    </row>
    <row r="3">
      <c r="A3" t="inlineStr">
        <is>
          <t>C-RG174</t>
        </is>
      </c>
      <c r="B3" s="2" t="n">
        <v>1.2</v>
      </c>
      <c r="C3" s="2" t="n">
        <v>0.55</v>
      </c>
      <c r="D3" t="inlineStr">
        <is>
          <t>tier at 1728/yr, +5% scrap</t>
        </is>
      </c>
      <c r="E3">
        <f>IF(C3="",0,B3*C3*(1+Inputs!$B$8))</f>
        <v/>
      </c>
    </row>
    <row r="4">
      <c r="A4" t="inlineStr">
        <is>
          <t>DSUB-9S</t>
        </is>
      </c>
      <c r="B4" s="2" t="n">
        <v>1</v>
      </c>
      <c r="C4" s="2" t="n">
        <v>1.4</v>
      </c>
      <c r="D4" t="inlineStr">
        <is>
          <t>tier at 1440/yr, +5% scrap</t>
        </is>
      </c>
      <c r="E4">
        <f>IF(C4="",0,B4*C4*(1+Inputs!$B$8))</f>
        <v/>
      </c>
    </row>
    <row r="5">
      <c r="A5" t="inlineStr">
        <is>
          <t>FER-174</t>
        </is>
      </c>
      <c r="B5" s="2" t="n">
        <v>1</v>
      </c>
      <c r="C5" s="2" t="n">
        <v>0.18</v>
      </c>
      <c r="D5" t="inlineStr">
        <is>
          <t>tier at 1440/yr, +5% scrap</t>
        </is>
      </c>
      <c r="E5">
        <f>IF(C5="",0,B5*C5*(1+Inputs!$B$8))</f>
        <v/>
      </c>
    </row>
    <row r="6">
      <c r="A6" t="inlineStr">
        <is>
          <t>HS-1248</t>
        </is>
      </c>
      <c r="B6" s="2" t="n">
        <v>0.04</v>
      </c>
      <c r="C6" s="2" t="n">
        <v>2.1</v>
      </c>
      <c r="D6" t="inlineStr">
        <is>
          <t>tier at 57.6/yr, +5% scrap</t>
        </is>
      </c>
      <c r="E6">
        <f>IF(C6="",0,B6*C6*(1+Inputs!$B$8))</f>
        <v/>
      </c>
    </row>
    <row r="7">
      <c r="A7" t="inlineStr">
        <is>
          <t>PIN-SMA-174</t>
        </is>
      </c>
      <c r="B7" s="2" t="n">
        <v>1</v>
      </c>
      <c r="C7" s="2" t="n">
        <v>0.4</v>
      </c>
      <c r="D7" t="inlineStr">
        <is>
          <t>tier at 1440/yr, +5% scrap</t>
        </is>
      </c>
      <c r="E7">
        <f>IF(C7="",0,B7*C7*(1+Inputs!$B$8))</f>
        <v/>
      </c>
    </row>
    <row r="8">
      <c r="A8" t="inlineStr">
        <is>
          <t>SMA-STR-174</t>
        </is>
      </c>
      <c r="B8" s="2" t="n">
        <v>1</v>
      </c>
      <c r="C8" s="2" t="n">
        <v>2.9</v>
      </c>
      <c r="D8" t="inlineStr">
        <is>
          <t>tier at 1440/yr, +5% scrap</t>
        </is>
      </c>
      <c r="E8">
        <f>IF(C8="",0,B8*C8*(1+Inputs!$B$8))</f>
        <v/>
      </c>
    </row>
    <row r="9">
      <c r="A9" t="inlineStr">
        <is>
          <t>W-HOOK-22</t>
        </is>
      </c>
      <c r="B9" s="2" t="n">
        <v>1.5</v>
      </c>
      <c r="C9" s="2" t="n">
        <v>0.07000000000000001</v>
      </c>
      <c r="D9" t="inlineStr">
        <is>
          <t>tier at 2160/yr, +5% scrap</t>
        </is>
      </c>
      <c r="E9">
        <f>IF(C9="",0,B9*C9*(1+Inputs!$B$8))</f>
        <v/>
      </c>
    </row>
    <row r="10">
      <c r="D10" s="1" t="inlineStr">
        <is>
          <t>MATERIAL PER SET</t>
        </is>
      </c>
      <c r="E10" s="1">
        <f>SUM(E2:E9)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harness</t>
        </is>
      </c>
      <c r="B1" s="3" t="inlineStr">
        <is>
          <t>qty/set</t>
        </is>
      </c>
      <c r="C1" s="3" t="inlineStr">
        <is>
          <t>Cutting / stripping</t>
        </is>
      </c>
      <c r="D1" s="3" t="inlineStr">
        <is>
          <t>Cable preparation (shield / coax prep)</t>
        </is>
      </c>
      <c r="E1" s="3" t="inlineStr">
        <is>
          <t>Crimp / solder</t>
        </is>
      </c>
      <c r="F1" s="3" t="inlineStr">
        <is>
          <t>Connector assembly</t>
        </is>
      </c>
      <c r="G1" s="3" t="inlineStr">
        <is>
          <t>Layout / tape / label</t>
        </is>
      </c>
      <c r="H1" s="3" t="inlineStr">
        <is>
          <t>Test / inspect / pack</t>
        </is>
      </c>
      <c r="I1" s="3" t="inlineStr">
        <is>
          <t>min/harness (sum)</t>
        </is>
      </c>
      <c r="J1" s="3" t="inlineStr">
        <is>
          <t>min contributed/set</t>
        </is>
      </c>
    </row>
    <row r="2">
      <c r="A2" t="inlineStr">
        <is>
          <t>G-2001</t>
        </is>
      </c>
      <c r="B2" s="2" t="n">
        <v>1</v>
      </c>
      <c r="C2" s="2" t="n">
        <v>0.8</v>
      </c>
      <c r="D2" s="2" t="n">
        <v>3</v>
      </c>
      <c r="E2" s="2" t="n">
        <v>3</v>
      </c>
      <c r="F2" s="2" t="n">
        <v>2.3</v>
      </c>
      <c r="G2" s="2" t="n">
        <v>2.4</v>
      </c>
      <c r="H2" s="2" t="n">
        <v>2.2</v>
      </c>
      <c r="I2">
        <f>SUM(C2:H2)</f>
        <v/>
      </c>
      <c r="J2">
        <f>B2*I2</f>
        <v/>
      </c>
    </row>
    <row r="3">
      <c r="A3" t="inlineStr">
        <is>
          <t>G-2002</t>
        </is>
      </c>
      <c r="B3" s="2" t="n">
        <v>1</v>
      </c>
      <c r="C3" s="2" t="n">
        <v>2.4</v>
      </c>
      <c r="D3" s="2" t="n">
        <v>0</v>
      </c>
      <c r="E3" s="2" t="n">
        <v>9</v>
      </c>
      <c r="F3" s="2" t="n">
        <v>2</v>
      </c>
      <c r="G3" s="2" t="n">
        <v>4.3</v>
      </c>
      <c r="H3" s="2" t="n">
        <v>2.3</v>
      </c>
      <c r="I3">
        <f>SUM(C3:H3)</f>
        <v/>
      </c>
      <c r="J3">
        <f>B3*I3</f>
        <v/>
      </c>
    </row>
    <row r="4">
      <c r="I4" s="1" t="inlineStr">
        <is>
          <t>MIN PER SET</t>
        </is>
      </c>
      <c r="J4" s="1">
        <f>SUM(J2:J3)</f>
        <v/>
      </c>
    </row>
    <row r="5">
      <c r="A5" t="inlineStr">
        <is>
          <t>Station minutes are planning estimates (A-TIME) — overwrite blue cells with measured values when available.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volume (sets/wk)</t>
        </is>
      </c>
      <c r="B1" s="3" t="inlineStr">
        <is>
          <t>material/set</t>
        </is>
      </c>
      <c r="C1" s="3" t="inlineStr">
        <is>
          <t>labor direct/set</t>
        </is>
      </c>
      <c r="D1" s="3" t="inlineStr">
        <is>
          <t>labor loaded/set</t>
        </is>
      </c>
      <c r="E1" s="3" t="inlineStr">
        <is>
          <t>depreciation/set</t>
        </is>
      </c>
      <c r="F1" s="3" t="inlineStr">
        <is>
          <t>NRE/set</t>
        </is>
      </c>
      <c r="G1" s="3" t="inlineStr">
        <is>
          <t>overhead/set</t>
        </is>
      </c>
      <c r="H1" s="3" t="inlineStr">
        <is>
          <t>TOTAL/set</t>
        </is>
      </c>
    </row>
    <row r="2">
      <c r="A2" s="2" t="n">
        <v>5</v>
      </c>
      <c r="B2">
        <f>BOM!$E$10</f>
        <v/>
      </c>
      <c r="C2">
        <f>Labor!$J$4/60*Inputs!$B$2</f>
        <v/>
      </c>
      <c r="D2">
        <f>C2*Inputs!$B$3</f>
        <v/>
      </c>
      <c r="E2">
        <f>Inputs!$B$11/(Inputs!$B$6*Inputs!$B$5)/A2</f>
        <v/>
      </c>
      <c r="F2">
        <f>Inputs!$B$12/(A2*Inputs!$B$9)</f>
        <v/>
      </c>
      <c r="G2">
        <f>Inputs!$B$7</f>
        <v/>
      </c>
      <c r="H2" s="1">
        <f>B2+D2+E2+F2+G2</f>
        <v/>
      </c>
    </row>
    <row r="3">
      <c r="A3" s="2" t="n">
        <v>15</v>
      </c>
      <c r="B3">
        <f>BOM!$E$10</f>
        <v/>
      </c>
      <c r="C3">
        <f>Labor!$J$4/60*Inputs!$B$2</f>
        <v/>
      </c>
      <c r="D3">
        <f>C3*Inputs!$B$3</f>
        <v/>
      </c>
      <c r="E3">
        <f>Inputs!$B$11/(Inputs!$B$6*Inputs!$B$5)/A3</f>
        <v/>
      </c>
      <c r="F3">
        <f>Inputs!$B$12/(A3*Inputs!$B$9)</f>
        <v/>
      </c>
      <c r="G3">
        <f>Inputs!$B$7</f>
        <v/>
      </c>
      <c r="H3" s="1">
        <f>B3+D3+E3+F3+G3</f>
        <v/>
      </c>
    </row>
    <row r="4">
      <c r="A4" s="2" t="n">
        <v>22.5</v>
      </c>
      <c r="B4">
        <f>BOM!$E$10</f>
        <v/>
      </c>
      <c r="C4">
        <f>Labor!$J$4/60*Inputs!$B$2</f>
        <v/>
      </c>
      <c r="D4">
        <f>C4*Inputs!$B$3</f>
        <v/>
      </c>
      <c r="E4">
        <f>Inputs!$B$11/(Inputs!$B$6*Inputs!$B$5)/A4</f>
        <v/>
      </c>
      <c r="F4">
        <f>Inputs!$B$12/(A4*Inputs!$B$9)</f>
        <v/>
      </c>
      <c r="G4">
        <f>Inputs!$B$7</f>
        <v/>
      </c>
      <c r="H4" s="1">
        <f>B4+D4+E4+F4+G4</f>
        <v/>
      </c>
    </row>
    <row r="5">
      <c r="A5" s="2" t="n">
        <v>30</v>
      </c>
      <c r="B5">
        <f>BOM!$E$10</f>
        <v/>
      </c>
      <c r="C5">
        <f>Labor!$J$4/60*Inputs!$B$2</f>
        <v/>
      </c>
      <c r="D5">
        <f>C5*Inputs!$B$3</f>
        <v/>
      </c>
      <c r="E5">
        <f>Inputs!$B$11/(Inputs!$B$6*Inputs!$B$5)/A5</f>
        <v/>
      </c>
      <c r="F5">
        <f>Inputs!$B$12/(A5*Inputs!$B$9)</f>
        <v/>
      </c>
      <c r="G5">
        <f>Inputs!$B$7</f>
        <v/>
      </c>
      <c r="H5" s="1">
        <f>B5+D5+E5+F5+G5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volume</t>
        </is>
      </c>
      <c r="B1" s="3" t="inlineStr">
        <is>
          <t>hours/week</t>
        </is>
      </c>
      <c r="C1" s="3" t="inlineStr">
        <is>
          <t>technicians (ceil)</t>
        </is>
      </c>
      <c r="D1" s="3" t="inlineStr">
        <is>
          <t>share of a 4-tech shift</t>
        </is>
      </c>
    </row>
    <row r="2">
      <c r="A2">
        <f>Cost!A2</f>
        <v/>
      </c>
      <c r="B2">
        <f>A2*Labor!$J$4/60</f>
        <v/>
      </c>
      <c r="C2">
        <f>CEILING(B2/Inputs!$B$4,1)</f>
        <v/>
      </c>
      <c r="D2">
        <f>C2/4</f>
        <v/>
      </c>
    </row>
    <row r="3">
      <c r="A3">
        <f>Cost!A3</f>
        <v/>
      </c>
      <c r="B3">
        <f>A3*Labor!$J$4/60</f>
        <v/>
      </c>
      <c r="C3">
        <f>CEILING(B3/Inputs!$B$4,1)</f>
        <v/>
      </c>
      <c r="D3">
        <f>C3/4</f>
        <v/>
      </c>
    </row>
    <row r="4">
      <c r="A4">
        <f>Cost!A4</f>
        <v/>
      </c>
      <c r="B4">
        <f>A4*Labor!$J$4/60</f>
        <v/>
      </c>
      <c r="C4">
        <f>CEILING(B4/Inputs!$B$4,1)</f>
        <v/>
      </c>
      <c r="D4">
        <f>C4/4</f>
        <v/>
      </c>
    </row>
    <row r="5">
      <c r="A5">
        <f>Cost!A5</f>
        <v/>
      </c>
      <c r="B5">
        <f>A5*Labor!$J$4/60</f>
        <v/>
      </c>
      <c r="C5">
        <f>CEILING(B5/Inputs!$B$4,1)</f>
        <v/>
      </c>
      <c r="D5">
        <f>C5/4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volume</t>
        </is>
      </c>
      <c r="B1" s="3" t="inlineStr">
        <is>
          <t>cost/set</t>
        </is>
      </c>
      <c r="C1" s="3" t="inlineStr">
        <is>
          <t>GM/set</t>
        </is>
      </c>
      <c r="D1" s="3" t="inlineStr">
        <is>
          <t>GM %</t>
        </is>
      </c>
      <c r="E1" s="3" t="inlineStr">
        <is>
          <t>GM/year</t>
        </is>
      </c>
    </row>
    <row r="2">
      <c r="A2">
        <f>Cost!A2</f>
        <v/>
      </c>
      <c r="B2">
        <f>Cost!H2</f>
        <v/>
      </c>
      <c r="C2">
        <f>Inputs!$B$10-B2</f>
        <v/>
      </c>
      <c r="D2">
        <f>C2/Inputs!$B$10</f>
        <v/>
      </c>
      <c r="E2">
        <f>C2*A2*Inputs!$B$5</f>
        <v/>
      </c>
    </row>
    <row r="3">
      <c r="A3">
        <f>Cost!A3</f>
        <v/>
      </c>
      <c r="B3">
        <f>Cost!H3</f>
        <v/>
      </c>
      <c r="C3">
        <f>Inputs!$B$10-B3</f>
        <v/>
      </c>
      <c r="D3">
        <f>C3/Inputs!$B$10</f>
        <v/>
      </c>
      <c r="E3">
        <f>C3*A3*Inputs!$B$5</f>
        <v/>
      </c>
    </row>
    <row r="4">
      <c r="A4">
        <f>Cost!A4</f>
        <v/>
      </c>
      <c r="B4">
        <f>Cost!H4</f>
        <v/>
      </c>
      <c r="C4">
        <f>Inputs!$B$10-B4</f>
        <v/>
      </c>
      <c r="D4">
        <f>C4/Inputs!$B$10</f>
        <v/>
      </c>
      <c r="E4">
        <f>C4*A4*Inputs!$B$5</f>
        <v/>
      </c>
    </row>
    <row r="5">
      <c r="A5">
        <f>Cost!A5</f>
        <v/>
      </c>
      <c r="B5">
        <f>Cost!H5</f>
        <v/>
      </c>
      <c r="C5">
        <f>Inputs!$B$10-B5</f>
        <v/>
      </c>
      <c r="D5">
        <f>C5/Inputs!$B$10</f>
        <v/>
      </c>
      <c r="E5">
        <f>C5*A5*Inputs!$B$5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assumption</t>
        </is>
      </c>
      <c r="C1" s="3" t="inlineStr">
        <is>
          <t>value</t>
        </is>
      </c>
      <c r="D1" s="3" t="inlineStr">
        <is>
          <t>impact</t>
        </is>
      </c>
      <c r="E1" s="3" t="inlineStr">
        <is>
          <t>status</t>
        </is>
      </c>
      <c r="F1" s="3" t="inlineStr">
        <is>
          <t>source</t>
        </is>
      </c>
    </row>
    <row r="2">
      <c r="A2" t="inlineStr">
        <is>
          <t>A-VOL-G</t>
        </is>
      </c>
      <c r="B2" t="inlineStr">
        <is>
          <t>Volumes are in SETS per week</t>
        </is>
      </c>
      <c r="C2" t="inlineStr"/>
      <c r="D2" t="inlineStr">
        <is>
          <t>all outputs</t>
        </is>
      </c>
      <c r="E2" t="inlineStr">
        <is>
          <t>confirmed</t>
        </is>
      </c>
      <c r="F2" t="inlineStr">
        <is>
          <t>[unverified: owner statement]</t>
        </is>
      </c>
    </row>
    <row r="3">
      <c r="A3" t="inlineStr">
        <is>
          <t>A-SOLDER</t>
        </is>
      </c>
      <c r="B3" t="inlineStr">
        <is>
          <t>Hand solder, SAC305, iron 370 C; class 2 workmanship</t>
        </is>
      </c>
      <c r="C3" t="inlineStr"/>
      <c r="D3" t="inlineStr">
        <is>
          <t>solder time standards and inspection</t>
        </is>
      </c>
      <c r="E3" t="inlineStr">
        <is>
          <t>open</t>
        </is>
      </c>
      <c r="F3" t="inlineStr">
        <is>
          <t>[unverified: shop default]</t>
        </is>
      </c>
    </row>
    <row r="4">
      <c r="A4" t="inlineStr">
        <is>
          <t>A-TIME</t>
        </is>
      </c>
      <c r="B4" t="inlineStr">
        <is>
          <t>station unit times are planning estimates until measured (±25% carried in margin sensitivity)</t>
        </is>
      </c>
      <c r="E4" t="inlineStr">
        <is>
          <t>open</t>
        </is>
      </c>
    </row>
    <row r="5">
      <c r="A5" t="inlineStr">
        <is>
          <t>A-TOOL-T</t>
        </is>
      </c>
      <c r="B5" t="inlineStr">
        <is>
          <t>hand crimp 1.5 min, press 0.25 min, solder 3.0 min per termination</t>
        </is>
      </c>
      <c r="E5" t="inlineStr">
        <is>
          <t>open</t>
        </is>
      </c>
    </row>
    <row r="6">
      <c r="A6" t="inlineStr">
        <is>
          <t>A-CAL</t>
        </is>
      </c>
      <c r="B6" t="inlineStr">
        <is>
          <t>external calibration 120/event</t>
        </is>
      </c>
      <c r="E6" t="inlineStr">
        <is>
          <t>open</t>
        </is>
      </c>
    </row>
    <row r="7">
      <c r="A7" t="inlineStr">
        <is>
          <t>A-FAI</t>
        </is>
      </c>
      <c r="B7" t="inlineStr">
        <is>
          <t>first article + qualification 2 weeks</t>
        </is>
      </c>
      <c r="E7" t="inlineStr">
        <is>
          <t>open</t>
        </is>
      </c>
    </row>
    <row r="8">
      <c r="A8" t="inlineStr">
        <is>
          <t>A-TRAIN</t>
        </is>
      </c>
      <c r="B8" t="inlineStr">
        <is>
          <t>training 1 week / 8 h</t>
        </is>
      </c>
      <c r="E8" t="inlineStr">
        <is>
          <t>open</t>
        </is>
      </c>
    </row>
    <row r="9">
      <c r="A9" t="inlineStr">
        <is>
          <t>A-SHIFT</t>
        </is>
      </c>
      <c r="B9" t="inlineStr">
        <is>
          <t>second shift above 4 technicians</t>
        </is>
      </c>
      <c r="E9" t="inlineStr">
        <is>
          <t>open</t>
        </is>
      </c>
    </row>
    <row r="10">
      <c r="A10" t="inlineStr">
        <is>
          <t>A-FB-SHIELD</t>
        </is>
      </c>
      <c r="B10" t="inlineStr">
        <is>
          <t>25 mm shield fold-back allowance on shielded ends</t>
        </is>
      </c>
      <c r="E10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2026-10-10T07:08:16Z</dcterms:created>
  <dcterms:modified xmlns:dcterms="http://purl.org/dc/terms/" xmlns:xsi="http://www.w3.org/2001/XMLSchema-instance" xsi:type="dcterms:W3CDTF">2026-10-10T07:08:16Z</dcterms:modified>
</cp:coreProperties>
</file>